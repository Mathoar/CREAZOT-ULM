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60" windowWidth="28580" windowHeight="17040" tabRatio="600" firstSheet="0" activeTab="0" autoFilterDateGrouping="1"/>
  </bookViews>
  <sheets>
    <sheet name="Feuil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theme="8"/>
      <sz val="11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1" fillId="0" borderId="0"/>
    <xf numFmtId="0" fontId="2" fillId="2" borderId="0"/>
    <xf numFmtId="0" fontId="1" fillId="3" borderId="1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9" fontId="0" fillId="3" borderId="1" pivotButton="0" quotePrefix="0" xfId="2"/>
    <xf numFmtId="0" fontId="0" fillId="0" borderId="0" applyAlignment="1" pivotButton="0" quotePrefix="0" xfId="0">
      <alignment horizontal="left"/>
    </xf>
    <xf numFmtId="0" fontId="0" fillId="3" borderId="1" applyAlignment="1" pivotButton="0" quotePrefix="0" xfId="2">
      <alignment horizontal="center"/>
    </xf>
    <xf numFmtId="0" fontId="2" fillId="2" borderId="0" applyAlignment="1" pivotButton="0" quotePrefix="0" xfId="1">
      <alignment horizontal="center"/>
    </xf>
    <xf numFmtId="0" fontId="3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3">
    <cellStyle name="Normal" xfId="0" builtinId="0"/>
    <cellStyle name="Insatisfaisant" xfId="1" builtinId="27"/>
    <cellStyle name="Note" xfId="2" builtinId="1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62"/>
  <sheetViews>
    <sheetView tabSelected="1" workbookViewId="0">
      <selection activeCell="B147" sqref="B147:D150"/>
    </sheetView>
  </sheetViews>
  <sheetFormatPr baseColWidth="10" defaultColWidth="8.83203125" defaultRowHeight="15"/>
  <cols>
    <col width="71.5" bestFit="1" customWidth="1" min="2" max="2"/>
    <col width="6" bestFit="1" customWidth="1" min="3" max="3"/>
    <col width="12.1640625" bestFit="1" customWidth="1" min="4" max="4"/>
    <col width="14" bestFit="1" customWidth="1" min="6" max="6"/>
    <col width="62.1640625" bestFit="1" customWidth="1" min="8" max="8"/>
  </cols>
  <sheetData>
    <row r="1">
      <c r="B1" t="inlineStr">
        <is>
          <t xml:space="preserve">Société </t>
        </is>
      </c>
      <c r="C1" s="4" t="inlineStr">
        <is>
          <t>CRÉAZOT</t>
        </is>
      </c>
      <c r="D1" s="8" t="n"/>
      <c r="E1" s="8" t="n"/>
      <c r="F1" s="9" t="n"/>
    </row>
    <row r="3">
      <c r="B3" s="5" t="inlineStr">
        <is>
          <t>A noter que ce score est uniquement informatif et ne donnera pas un classement</t>
        </is>
      </c>
    </row>
    <row r="5">
      <c r="B5" t="inlineStr">
        <is>
          <t>Fonctionnalités</t>
        </is>
      </c>
      <c r="C5" t="inlineStr">
        <is>
          <t>Valeur</t>
        </is>
      </c>
      <c r="D5" t="inlineStr">
        <is>
          <t>Avancement</t>
        </is>
      </c>
      <c r="E5" t="inlineStr">
        <is>
          <t>Score</t>
        </is>
      </c>
      <c r="F5" t="inlineStr">
        <is>
          <t>Commentaires</t>
        </is>
      </c>
      <c r="H5" s="3" t="inlineStr">
        <is>
          <t xml:space="preserve">Merci de noter votre avancement selon le barème indicatif suivant : </t>
        </is>
      </c>
      <c r="I5" s="1" t="n"/>
      <c r="J5" s="1" t="n"/>
    </row>
    <row r="6">
      <c r="H6" s="3" t="inlineStr">
        <is>
          <t>100% : en ligne, en production</t>
        </is>
      </c>
      <c r="I6" s="1" t="n"/>
      <c r="J6" s="1" t="n"/>
    </row>
    <row r="7">
      <c r="B7" t="inlineStr">
        <is>
          <t>LISTE OPS (obligatoire – arrêté 17 février 2025)</t>
        </is>
      </c>
      <c r="H7" s="3" t="inlineStr">
        <is>
          <t>70% : en test</t>
        </is>
      </c>
      <c r="I7" s="1" t="n"/>
      <c r="J7" s="1" t="n"/>
    </row>
    <row r="8">
      <c r="B8" t="inlineStr">
        <is>
          <t>Gestion des comptes utilisateurs individuels</t>
        </is>
      </c>
      <c r="C8" t="n">
        <v>30</v>
      </c>
      <c r="D8" s="2" t="n">
        <v>1</v>
      </c>
      <c r="E8">
        <f>D8*C8</f>
        <v/>
      </c>
      <c r="H8" s="3" t="inlineStr">
        <is>
          <t>50% : en cours de développement</t>
        </is>
      </c>
      <c r="I8" s="1" t="n"/>
      <c r="J8" s="1" t="n"/>
    </row>
    <row r="9">
      <c r="B9" t="inlineStr">
        <is>
          <t>Gestion des rôles et droits (FFPLUM, DGAC, structures, pilotes)</t>
        </is>
      </c>
      <c r="C9" t="n">
        <v>20</v>
      </c>
      <c r="D9" s="2" t="n">
        <v>1</v>
      </c>
      <c r="E9">
        <f>D9*C9</f>
        <v/>
      </c>
      <c r="H9" s="3" t="inlineStr">
        <is>
          <t>30% : faisable mais pas développé</t>
        </is>
      </c>
      <c r="I9" s="1" t="n"/>
      <c r="J9" s="1" t="n"/>
    </row>
    <row r="10">
      <c r="B10" t="inlineStr">
        <is>
          <t>Accès DGAC en lecture seule paramétrable</t>
        </is>
      </c>
      <c r="C10" t="n">
        <v>10</v>
      </c>
      <c r="D10" s="2" t="n">
        <v>0.8</v>
      </c>
      <c r="E10">
        <f>D10*C10</f>
        <v/>
      </c>
      <c r="H10" s="3" t="inlineStr">
        <is>
          <t>0% : KO, ne m'interesse pas</t>
        </is>
      </c>
      <c r="I10" s="1" t="n"/>
      <c r="J10" s="1" t="n"/>
    </row>
    <row r="11">
      <c r="B11" s="6" t="inlineStr">
        <is>
          <t>Rattachement et dérattachement pilote–structure</t>
        </is>
      </c>
      <c r="C11" t="n">
        <v>20</v>
      </c>
      <c r="D11" s="2" t="n">
        <v>1</v>
      </c>
      <c r="E11">
        <f>D11*C11</f>
        <v/>
      </c>
      <c r="H11" t="inlineStr">
        <is>
          <t>Vous pouvez nuancer entre ces valeurs</t>
        </is>
      </c>
    </row>
    <row r="12">
      <c r="B12" t="inlineStr">
        <is>
          <t>Génératin AUTOMATIQUE du MANEX</t>
        </is>
      </c>
      <c r="C12" t="n">
        <v>15</v>
      </c>
      <c r="D12" s="2" t="n">
        <v>0.3</v>
      </c>
      <c r="E12">
        <f>D12*C12</f>
        <v/>
      </c>
    </row>
    <row r="13">
      <c r="B13" s="6" t="inlineStr">
        <is>
          <t>Archivage du MANEX</t>
        </is>
      </c>
      <c r="C13" t="n">
        <v>5</v>
      </c>
      <c r="D13" s="2" t="n">
        <v>0.3</v>
      </c>
      <c r="E13">
        <f>D13*C13</f>
        <v/>
      </c>
    </row>
    <row r="14">
      <c r="B14" t="inlineStr">
        <is>
          <t>Gestion des activités VLO</t>
        </is>
      </c>
    </row>
    <row r="15">
      <c r="B15" s="7" t="inlineStr">
        <is>
          <t>Vérification automatique éligibilité pilote VLO</t>
        </is>
      </c>
      <c r="C15" t="n">
        <v>5</v>
      </c>
      <c r="D15" s="2" t="n">
        <v>1</v>
      </c>
      <c r="E15">
        <f>D15*C15</f>
        <v/>
      </c>
    </row>
    <row r="16">
      <c r="B16" s="7" t="inlineStr">
        <is>
          <t>Vérification automatique éligibilité machine VLO</t>
        </is>
      </c>
      <c r="C16" t="n">
        <v>5</v>
      </c>
      <c r="D16" s="2" t="n">
        <v>0.5</v>
      </c>
      <c r="E16">
        <f>D16*C16</f>
        <v/>
      </c>
    </row>
    <row r="17">
      <c r="B17" s="7" t="inlineStr">
        <is>
          <t>Vérification automatique éligibilité structure VLO</t>
        </is>
      </c>
      <c r="C17" t="n">
        <v>5</v>
      </c>
      <c r="D17" s="2" t="n">
        <v>0.5</v>
      </c>
      <c r="E17">
        <f>D17*C17</f>
        <v/>
      </c>
    </row>
    <row r="18">
      <c r="B18" s="7" t="inlineStr">
        <is>
          <t>Suivi et génération des documents VLO</t>
        </is>
      </c>
      <c r="C18" t="n">
        <v>5</v>
      </c>
      <c r="D18" s="2" t="n">
        <v>0.5</v>
      </c>
      <c r="E18">
        <f>D18*C18</f>
        <v/>
      </c>
    </row>
    <row r="19">
      <c r="B19" s="7" t="inlineStr">
        <is>
          <t>Gestion des activités VLD</t>
        </is>
      </c>
    </row>
    <row r="20">
      <c r="B20" s="7" t="inlineStr">
        <is>
          <t>Vérification conformité structure VLD</t>
        </is>
      </c>
      <c r="C20" t="n">
        <v>10</v>
      </c>
      <c r="D20" s="2" t="n">
        <v>0.5</v>
      </c>
      <c r="E20">
        <f>D20*C20</f>
        <v/>
      </c>
    </row>
    <row r="21">
      <c r="B21" s="7" t="inlineStr">
        <is>
          <t>Vérification conformité pilote VLD</t>
        </is>
      </c>
      <c r="C21" t="n">
        <v>10</v>
      </c>
      <c r="D21" s="2" t="n">
        <v>1</v>
      </c>
      <c r="E21">
        <f>D21*C21</f>
        <v/>
      </c>
    </row>
    <row r="22">
      <c r="B22" s="7" t="inlineStr">
        <is>
          <t>Vérification conformité machine VLD</t>
        </is>
      </c>
      <c r="C22" t="n">
        <v>10</v>
      </c>
      <c r="D22" s="2" t="n">
        <v>0.5</v>
      </c>
      <c r="E22">
        <f>D22*C22</f>
        <v/>
      </c>
    </row>
    <row r="23">
      <c r="B23" s="7" t="inlineStr">
        <is>
          <t>Suivi et génération des documents VLD</t>
        </is>
      </c>
      <c r="C23" t="n">
        <v>10</v>
      </c>
      <c r="D23" s="2" t="n">
        <v>0.5</v>
      </c>
      <c r="E23">
        <f>D23*C23</f>
        <v/>
      </c>
    </row>
    <row r="24">
      <c r="B24" t="inlineStr">
        <is>
          <t>Suivi du pourcentage d’heures de baptêmes</t>
        </is>
      </c>
      <c r="C24" t="n">
        <v>2</v>
      </c>
      <c r="D24" s="2" t="n">
        <v>0.5</v>
      </c>
      <c r="E24">
        <f>D24*C24</f>
        <v/>
      </c>
    </row>
    <row r="25">
      <c r="B25" t="inlineStr">
        <is>
          <t>Alerte dépassement seuil 8 %</t>
        </is>
      </c>
      <c r="C25" t="n">
        <v>2</v>
      </c>
      <c r="D25" s="2" t="n">
        <v>0.5</v>
      </c>
      <c r="E25">
        <f>D25*C25</f>
        <v/>
      </c>
    </row>
    <row r="26">
      <c r="B26" t="inlineStr">
        <is>
          <t>Gestion des activités particulières (LAR, PAR, REM, REP, PVA, MAN, VOG, BAH)</t>
        </is>
      </c>
    </row>
    <row r="27">
      <c r="B27" t="inlineStr">
        <is>
          <t>Déclaration d’activité particulière</t>
        </is>
      </c>
      <c r="C27" t="n">
        <v>5</v>
      </c>
      <c r="D27" s="2" t="n">
        <v>1</v>
      </c>
      <c r="E27">
        <f>D27*C27</f>
        <v/>
      </c>
    </row>
    <row r="28">
      <c r="B28" t="inlineStr">
        <is>
          <t>Suivi d’activité particulière</t>
        </is>
      </c>
      <c r="C28" t="n">
        <v>5</v>
      </c>
      <c r="D28" s="2" t="n">
        <v>1</v>
      </c>
      <c r="E28">
        <f>D28*C28</f>
        <v/>
      </c>
    </row>
    <row r="29">
      <c r="B29" t="inlineStr">
        <is>
          <t>Vérification conformité pilote activités particulières</t>
        </is>
      </c>
      <c r="C29" t="n">
        <v>5</v>
      </c>
      <c r="D29" s="2" t="n">
        <v>1</v>
      </c>
      <c r="E29">
        <f>D29*C29</f>
        <v/>
      </c>
    </row>
    <row r="30">
      <c r="B30" t="inlineStr">
        <is>
          <t>Vérification conformité machine activités particulières</t>
        </is>
      </c>
      <c r="C30" t="n">
        <v>5</v>
      </c>
      <c r="D30" s="2" t="n">
        <v>1</v>
      </c>
      <c r="E30">
        <f>D30*C30</f>
        <v/>
      </c>
    </row>
    <row r="31">
      <c r="B31" t="inlineStr">
        <is>
          <t>Vérification conformité structure activités particulières</t>
        </is>
      </c>
      <c r="C31" t="n">
        <v>5</v>
      </c>
      <c r="D31" s="2" t="n">
        <v>0.5</v>
      </c>
      <c r="E31">
        <f>D31*C31</f>
        <v/>
      </c>
    </row>
    <row r="32">
      <c r="B32" t="inlineStr">
        <is>
          <t>Commun</t>
        </is>
      </c>
    </row>
    <row r="33">
      <c r="B33" t="inlineStr">
        <is>
          <t>Gestion des documents pilotes</t>
        </is>
      </c>
      <c r="C33" t="n">
        <v>10</v>
      </c>
      <c r="D33" s="2" t="n">
        <v>1</v>
      </c>
      <c r="E33">
        <f>D33*C33</f>
        <v/>
      </c>
    </row>
    <row r="34">
      <c r="B34" t="inlineStr">
        <is>
          <t>Gestion suivi formation FH pilote</t>
        </is>
      </c>
      <c r="C34" t="n">
        <v>30</v>
      </c>
      <c r="D34" s="2" t="n">
        <v>0.7</v>
      </c>
      <c r="E34">
        <f>D34*C34</f>
        <v/>
      </c>
    </row>
    <row r="35">
      <c r="B35" t="inlineStr">
        <is>
          <t>Carnet de vol pilote numérique</t>
        </is>
      </c>
      <c r="C35" t="n">
        <v>30</v>
      </c>
      <c r="D35" s="2" t="n">
        <v>1</v>
      </c>
      <c r="E35">
        <f>D35*C35</f>
        <v/>
      </c>
    </row>
    <row r="36">
      <c r="B36" t="inlineStr">
        <is>
          <t>Gestion licence FFPLUM pilote</t>
        </is>
      </c>
      <c r="C36" t="n">
        <v>10</v>
      </c>
      <c r="D36" s="2" t="n">
        <v>0.9</v>
      </c>
      <c r="E36">
        <f>D36*C36</f>
        <v/>
      </c>
    </row>
    <row r="37">
      <c r="B37" t="inlineStr">
        <is>
          <t>Gestion visite médicale pilote</t>
        </is>
      </c>
      <c r="C37" t="n">
        <v>15</v>
      </c>
      <c r="D37" s="2" t="n">
        <v>1</v>
      </c>
      <c r="E37">
        <f>D37*C37</f>
        <v/>
      </c>
    </row>
    <row r="38">
      <c r="B38" t="inlineStr">
        <is>
          <t>Gestion assurance RC pilote</t>
        </is>
      </c>
      <c r="C38" t="n">
        <v>15</v>
      </c>
      <c r="D38" s="2" t="n">
        <v>0.5</v>
      </c>
      <c r="E38">
        <f>D38*C38</f>
        <v/>
      </c>
    </row>
    <row r="39">
      <c r="B39" t="inlineStr">
        <is>
          <t>Gestion qualifications et autorisations pilote</t>
        </is>
      </c>
      <c r="C39" t="n">
        <v>10</v>
      </c>
      <c r="D39" s="2" t="n">
        <v>1</v>
      </c>
      <c r="E39">
        <f>D39*C39</f>
        <v/>
      </c>
    </row>
    <row r="40">
      <c r="B40" t="inlineStr">
        <is>
          <t>Gestion des documents machines</t>
        </is>
      </c>
      <c r="C40" t="n">
        <v>10</v>
      </c>
      <c r="D40" s="2" t="n">
        <v>1</v>
      </c>
      <c r="E40">
        <f>D40*C40</f>
        <v/>
      </c>
    </row>
    <row r="41">
      <c r="B41" t="inlineStr">
        <is>
          <t>Carnet de route machine numérique</t>
        </is>
      </c>
      <c r="C41" t="n">
        <v>30</v>
      </c>
      <c r="D41" s="2" t="n">
        <v>1</v>
      </c>
      <c r="E41">
        <f>D41*C41</f>
        <v/>
      </c>
    </row>
    <row r="42">
      <c r="B42" t="inlineStr">
        <is>
          <t>Gestion fiche et carte d’identification machine</t>
        </is>
      </c>
      <c r="C42" t="n">
        <v>5</v>
      </c>
      <c r="D42" s="2" t="n">
        <v>1</v>
      </c>
      <c r="E42">
        <f>D42*C42</f>
        <v/>
      </c>
    </row>
    <row r="43">
      <c r="B43" t="inlineStr">
        <is>
          <t>Gestion aptitude au vol machine</t>
        </is>
      </c>
      <c r="C43" t="n">
        <v>5</v>
      </c>
      <c r="D43" s="2" t="n">
        <v>1</v>
      </c>
      <c r="E43">
        <f>D43*C43</f>
        <v/>
      </c>
    </row>
    <row r="44">
      <c r="B44" t="inlineStr">
        <is>
          <t>Gestion assurance machine</t>
        </is>
      </c>
      <c r="C44" t="n">
        <v>5</v>
      </c>
      <c r="D44" s="2" t="n">
        <v>1</v>
      </c>
      <c r="E44">
        <f>D44*C44</f>
        <v/>
      </c>
    </row>
    <row r="45">
      <c r="B45" t="inlineStr">
        <is>
          <t>Historique maintenance machine</t>
        </is>
      </c>
      <c r="C45" t="n">
        <v>3</v>
      </c>
      <c r="D45" s="2" t="n">
        <v>1</v>
      </c>
      <c r="E45">
        <f>D45*C45</f>
        <v/>
      </c>
    </row>
    <row r="46">
      <c r="B46" t="inlineStr">
        <is>
          <t>Historique incidents machine</t>
        </is>
      </c>
      <c r="C46" t="n">
        <v>3</v>
      </c>
      <c r="D46" s="2" t="n">
        <v>0.7</v>
      </c>
      <c r="E46">
        <f>D46*C46</f>
        <v/>
      </c>
    </row>
    <row r="47">
      <c r="B47" t="inlineStr">
        <is>
          <t>Gestion manuels et documents d’entretien machine</t>
        </is>
      </c>
      <c r="C47" t="n">
        <v>2</v>
      </c>
      <c r="D47" s="2" t="n">
        <v>1</v>
      </c>
      <c r="E47">
        <f>D47*C47</f>
        <v/>
      </c>
    </row>
    <row r="48">
      <c r="B48" s="6" t="inlineStr">
        <is>
          <t>Gestion des documents structures</t>
        </is>
      </c>
      <c r="C48" t="n">
        <v>15</v>
      </c>
      <c r="D48" s="2" t="n">
        <v>0.5</v>
      </c>
      <c r="E48">
        <f>D48*C48</f>
        <v/>
      </c>
    </row>
    <row r="49">
      <c r="B49" t="inlineStr">
        <is>
          <t>Gestion déclaration DGAC</t>
        </is>
      </c>
      <c r="C49" t="n">
        <v>15</v>
      </c>
      <c r="D49" s="2" t="n">
        <v>0.3</v>
      </c>
      <c r="E49">
        <f>D49*C49</f>
        <v/>
      </c>
    </row>
    <row r="50">
      <c r="B50" t="inlineStr">
        <is>
          <t>Gestion statuts et documents juridiques</t>
        </is>
      </c>
      <c r="C50" t="n">
        <v>10</v>
      </c>
      <c r="D50" s="2" t="n">
        <v>0.5</v>
      </c>
      <c r="E50">
        <f>D50*C50</f>
        <v/>
      </c>
    </row>
    <row r="51">
      <c r="B51" t="inlineStr">
        <is>
          <t>Gestion des dates de validité documents (tout types)</t>
        </is>
      </c>
      <c r="C51" t="n">
        <v>10</v>
      </c>
      <c r="D51" s="2" t="n">
        <v>0.7</v>
      </c>
      <c r="E51">
        <f>D51*C51</f>
        <v/>
      </c>
    </row>
    <row r="52">
      <c r="B52" s="6" t="inlineStr">
        <is>
          <t>Alerte 30 jours avant expiration (orange)</t>
        </is>
      </c>
      <c r="C52" t="n">
        <v>3</v>
      </c>
      <c r="D52" s="2" t="n">
        <v>1</v>
      </c>
      <c r="E52">
        <f>D52*C52</f>
        <v/>
      </c>
    </row>
    <row r="53">
      <c r="B53" s="6" t="inlineStr">
        <is>
          <t>Alerte 7 jours avant expiration (rouge)</t>
        </is>
      </c>
      <c r="C53" t="n">
        <v>3</v>
      </c>
      <c r="D53" s="2" t="n">
        <v>1</v>
      </c>
      <c r="E53">
        <f>D53*C53</f>
        <v/>
      </c>
    </row>
    <row r="54">
      <c r="B54" t="inlineStr">
        <is>
          <t>Blocage automatique document expiré</t>
        </is>
      </c>
      <c r="C54" t="n">
        <v>3</v>
      </c>
      <c r="D54" s="2" t="n">
        <v>0.5</v>
      </c>
      <c r="E54">
        <f>D54*C54</f>
        <v/>
      </c>
    </row>
    <row r="55">
      <c r="B55" t="inlineStr">
        <is>
          <t>Levée de blocage avec acceptation du risque</t>
        </is>
      </c>
      <c r="C55" t="n">
        <v>10</v>
      </c>
      <c r="D55" s="2" t="n">
        <v>0.3</v>
      </c>
      <c r="E55">
        <f>D55*C55</f>
        <v/>
      </c>
    </row>
    <row r="56">
      <c r="B56" t="inlineStr">
        <is>
          <t>Blocage pilote en cas de document expiré</t>
        </is>
      </c>
      <c r="C56" t="n">
        <v>3</v>
      </c>
      <c r="D56" s="2" t="n">
        <v>1</v>
      </c>
      <c r="E56">
        <f>D56*C56</f>
        <v/>
      </c>
    </row>
    <row r="57">
      <c r="B57" t="inlineStr">
        <is>
          <t>Blocage machine à la réservation</t>
        </is>
      </c>
      <c r="C57" t="n">
        <v>3</v>
      </c>
      <c r="D57" s="2" t="n">
        <v>1</v>
      </c>
      <c r="E57">
        <f>D57*C57</f>
        <v/>
      </c>
    </row>
    <row r="58">
      <c r="B58" t="inlineStr">
        <is>
          <t>Blocage activité rémunérée structure</t>
        </is>
      </c>
      <c r="C58" t="n">
        <v>3</v>
      </c>
      <c r="D58" s="2" t="n">
        <v>0.5</v>
      </c>
      <c r="E58">
        <f>D58*C58</f>
        <v/>
      </c>
    </row>
    <row r="59">
      <c r="B59" s="6" t="inlineStr">
        <is>
          <t>Hébergement sécurisé des documents</t>
        </is>
      </c>
      <c r="C59" t="n">
        <v>15</v>
      </c>
      <c r="D59" s="2" t="n">
        <v>0.7</v>
      </c>
      <c r="E59">
        <f>D59*C59</f>
        <v/>
      </c>
    </row>
    <row r="60">
      <c r="B60" t="inlineStr">
        <is>
          <t>Horodatage des données</t>
        </is>
      </c>
      <c r="C60" t="n">
        <v>10</v>
      </c>
      <c r="D60" s="2" t="n">
        <v>1</v>
      </c>
      <c r="E60">
        <f>D60*C60</f>
        <v/>
      </c>
    </row>
    <row r="61">
      <c r="B61" t="inlineStr">
        <is>
          <t>Logs et traçabilité complète</t>
        </is>
      </c>
      <c r="C61" t="n">
        <v>15</v>
      </c>
      <c r="D61" s="2" t="n">
        <v>1</v>
      </c>
      <c r="E61">
        <f>D61*C61</f>
        <v/>
      </c>
    </row>
    <row r="62">
      <c r="B62" t="inlineStr">
        <is>
          <t>Signature numérique des données</t>
        </is>
      </c>
      <c r="C62" t="n">
        <v>15</v>
      </c>
      <c r="D62" s="2" t="n">
        <v>0.3</v>
      </c>
      <c r="E62">
        <f>D62*C62</f>
        <v/>
      </c>
    </row>
    <row r="63">
      <c r="B63" t="inlineStr">
        <is>
          <t>Export données pour audit DGAC</t>
        </is>
      </c>
      <c r="C63" t="n">
        <v>10</v>
      </c>
      <c r="D63" s="2" t="n">
        <v>1</v>
      </c>
      <c r="E63">
        <f>D63*C63</f>
        <v/>
      </c>
    </row>
    <row r="64">
      <c r="B64" t="inlineStr">
        <is>
          <t>Export données pour audit FFPLUM</t>
        </is>
      </c>
      <c r="C64" t="n">
        <v>10</v>
      </c>
      <c r="D64" s="2" t="n">
        <v>1</v>
      </c>
      <c r="E64">
        <f>D64*C64</f>
        <v/>
      </c>
    </row>
    <row r="65">
      <c r="B65" t="inlineStr">
        <is>
          <t>Saisie simple des vols pilotes</t>
        </is>
      </c>
      <c r="C65" t="n">
        <v>15</v>
      </c>
      <c r="D65" s="2" t="n">
        <v>1</v>
      </c>
      <c r="E65">
        <f>D65*C65</f>
        <v/>
      </c>
    </row>
    <row r="66">
      <c r="B66" t="inlineStr">
        <is>
          <t>Déclaration incidents pilotes</t>
        </is>
      </c>
      <c r="C66" t="n">
        <v>10</v>
      </c>
      <c r="D66" s="2" t="n">
        <v>1</v>
      </c>
      <c r="E66">
        <f>D66*C66</f>
        <v/>
      </c>
    </row>
    <row r="67">
      <c r="B67" t="inlineStr">
        <is>
          <t>Visualisation carnet de vol pilote</t>
        </is>
      </c>
      <c r="C67" t="n">
        <v>10</v>
      </c>
      <c r="D67" s="2" t="n">
        <v>1</v>
      </c>
      <c r="E67">
        <f>D67*C67</f>
        <v/>
      </c>
    </row>
    <row r="68">
      <c r="B68" t="inlineStr">
        <is>
          <t>Visualisation carnet de route machine</t>
        </is>
      </c>
      <c r="C68" t="n">
        <v>10</v>
      </c>
      <c r="D68" s="2" t="n">
        <v>1</v>
      </c>
      <c r="E68">
        <f>D68*C68</f>
        <v/>
      </c>
    </row>
    <row r="69">
      <c r="B69" t="inlineStr">
        <is>
          <t>Gestion des membres structure</t>
        </is>
      </c>
      <c r="C69" t="n">
        <v>10</v>
      </c>
      <c r="D69" s="2" t="n">
        <v>1</v>
      </c>
      <c r="E69">
        <f>D69*C69</f>
        <v/>
      </c>
    </row>
    <row r="70">
      <c r="B70" s="6" t="inlineStr">
        <is>
          <t>Adhésions</t>
        </is>
      </c>
      <c r="C70" t="n">
        <v>3</v>
      </c>
      <c r="D70" s="2" t="n">
        <v>0.7</v>
      </c>
      <c r="E70">
        <f>D70*C70</f>
        <v/>
      </c>
    </row>
    <row r="71">
      <c r="B71" s="6" t="inlineStr">
        <is>
          <t>Invitations</t>
        </is>
      </c>
      <c r="C71" t="n">
        <v>3</v>
      </c>
      <c r="D71" s="2" t="n">
        <v>0.7</v>
      </c>
      <c r="E71">
        <f>D71*C71</f>
        <v/>
      </c>
    </row>
    <row r="72">
      <c r="B72" s="6" t="inlineStr">
        <is>
          <t>Rattachement et dérattachement membres</t>
        </is>
      </c>
      <c r="C72" t="n">
        <v>5</v>
      </c>
      <c r="D72" s="2" t="n">
        <v>1</v>
      </c>
      <c r="E72">
        <f>D72*C72</f>
        <v/>
      </c>
    </row>
    <row r="73">
      <c r="B73" t="inlineStr">
        <is>
          <t>Validation qualifications membres</t>
        </is>
      </c>
      <c r="C73" t="n">
        <v>3</v>
      </c>
      <c r="D73" s="2" t="n">
        <v>1</v>
      </c>
      <c r="E73">
        <f>D73*C73</f>
        <v/>
      </c>
    </row>
    <row r="74">
      <c r="B74" t="inlineStr">
        <is>
          <t>Suivi documentaire des membres</t>
        </is>
      </c>
      <c r="C74" t="n">
        <v>3</v>
      </c>
      <c r="D74" s="2" t="n">
        <v>0.8</v>
      </c>
      <c r="E74">
        <f>D74*C74</f>
        <v/>
      </c>
    </row>
    <row r="75">
      <c r="B75" t="inlineStr">
        <is>
          <t>Gestion parc machines structure</t>
        </is>
      </c>
      <c r="C75" t="n">
        <v>5</v>
      </c>
      <c r="D75" s="2" t="n">
        <v>1</v>
      </c>
      <c r="E75">
        <f>D75*C75</f>
        <v/>
      </c>
    </row>
    <row r="76">
      <c r="B76" t="inlineStr">
        <is>
          <t>Autorisation pilotes sur machines</t>
        </is>
      </c>
      <c r="C76" t="n">
        <v>5</v>
      </c>
      <c r="D76" s="2" t="n">
        <v>0.5</v>
      </c>
      <c r="E76">
        <f>D76*C76</f>
        <v/>
      </c>
    </row>
    <row r="77">
      <c r="B77" t="inlineStr">
        <is>
          <t>Suivi documentaire machines</t>
        </is>
      </c>
      <c r="C77" t="n">
        <v>5</v>
      </c>
      <c r="D77" s="2" t="n">
        <v>0.7</v>
      </c>
      <c r="E77">
        <f>D77*C77</f>
        <v/>
      </c>
    </row>
    <row r="78">
      <c r="B78" t="inlineStr">
        <is>
          <t>Historique maintenance machines</t>
        </is>
      </c>
      <c r="C78" t="n">
        <v>5</v>
      </c>
      <c r="D78" s="2" t="n">
        <v>1</v>
      </c>
      <c r="E78">
        <f>D78*C78</f>
        <v/>
      </c>
    </row>
    <row r="79">
      <c r="B79" s="6" t="inlineStr">
        <is>
          <t>Statistiques fédérales</t>
        </is>
      </c>
      <c r="C79" t="n">
        <v>5</v>
      </c>
      <c r="D79" s="2" t="n">
        <v>0.3</v>
      </c>
      <c r="E79">
        <f>D79*C79</f>
        <v/>
      </c>
    </row>
    <row r="80">
      <c r="B80" t="inlineStr">
        <is>
          <t>Heures de vol nationales</t>
        </is>
      </c>
      <c r="C80" t="n">
        <v>3</v>
      </c>
      <c r="D80" s="2" t="n">
        <v>0.3</v>
      </c>
      <c r="E80">
        <f>D80*C80</f>
        <v/>
      </c>
    </row>
    <row r="81">
      <c r="B81" t="inlineStr">
        <is>
          <t>Moyenne heures par pilote</t>
        </is>
      </c>
      <c r="C81" t="n">
        <v>3</v>
      </c>
      <c r="D81" s="2" t="n">
        <v>0.3</v>
      </c>
      <c r="E81">
        <f>D81*C81</f>
        <v/>
      </c>
    </row>
    <row r="82">
      <c r="B82" t="inlineStr">
        <is>
          <t>Statistiques activité VLD</t>
        </is>
      </c>
      <c r="C82" t="n">
        <v>10</v>
      </c>
      <c r="D82" s="2" t="n">
        <v>0.3</v>
      </c>
      <c r="E82">
        <f>D82*C82</f>
        <v/>
      </c>
    </row>
    <row r="83">
      <c r="B83" t="inlineStr">
        <is>
          <t>Statistiques activité VLO</t>
        </is>
      </c>
      <c r="C83" t="n">
        <v>10</v>
      </c>
      <c r="D83" s="2" t="n">
        <v>0.3</v>
      </c>
      <c r="E83">
        <f>D83*C83</f>
        <v/>
      </c>
    </row>
    <row r="84">
      <c r="B84" t="inlineStr">
        <is>
          <t>Statistiques activité écoles</t>
        </is>
      </c>
      <c r="C84" t="n">
        <v>10</v>
      </c>
      <c r="D84" s="2" t="n">
        <v>0.3</v>
      </c>
      <c r="E84">
        <f>D84*C84</f>
        <v/>
      </c>
    </row>
    <row r="85">
      <c r="B85" t="inlineStr">
        <is>
          <t>Statistiques activité machines</t>
        </is>
      </c>
      <c r="C85" t="n">
        <v>5</v>
      </c>
      <c r="D85" s="2" t="n">
        <v>0.3</v>
      </c>
      <c r="E85">
        <f>D85*C85</f>
        <v/>
      </c>
    </row>
    <row r="86">
      <c r="B86" t="inlineStr">
        <is>
          <t>Authentification MFA</t>
        </is>
      </c>
      <c r="C86" t="n">
        <v>15</v>
      </c>
      <c r="D86" s="2" t="n">
        <v>0.5</v>
      </c>
      <c r="E86">
        <f>D86*C86</f>
        <v/>
      </c>
    </row>
    <row r="87">
      <c r="B87" t="inlineStr">
        <is>
          <t>Hébergement Europe RGPD</t>
        </is>
      </c>
      <c r="C87" t="n">
        <v>15</v>
      </c>
      <c r="D87" s="2" t="n">
        <v>1</v>
      </c>
      <c r="E87">
        <f>D87*C87</f>
        <v/>
      </c>
    </row>
    <row r="88">
      <c r="B88" t="inlineStr">
        <is>
          <t>API ouverte REST ou GraphQL</t>
        </is>
      </c>
      <c r="C88" t="n">
        <v>15</v>
      </c>
      <c r="D88" s="2" t="n">
        <v>1</v>
      </c>
      <c r="E88">
        <f>D88*C88</f>
        <v/>
      </c>
    </row>
    <row r="89">
      <c r="B89" t="inlineStr">
        <is>
          <t>Connecteurs DSAC</t>
        </is>
      </c>
      <c r="C89" t="n">
        <v>5</v>
      </c>
      <c r="D89" s="2" t="n">
        <v>0.3</v>
      </c>
      <c r="E89">
        <f>D89*C89</f>
        <v/>
      </c>
    </row>
    <row r="90">
      <c r="B90" t="inlineStr">
        <is>
          <t>Connecteur Exalto</t>
        </is>
      </c>
      <c r="C90" t="n">
        <v>10</v>
      </c>
      <c r="D90" s="2" t="n">
        <v>0.3</v>
      </c>
      <c r="E90">
        <f>D90*C90</f>
        <v/>
      </c>
    </row>
    <row r="91">
      <c r="B91" t="inlineStr">
        <is>
          <t>Connecteur ExamULM</t>
        </is>
      </c>
      <c r="C91" t="n">
        <v>5</v>
      </c>
      <c r="D91" s="2" t="n">
        <v>0.3</v>
      </c>
      <c r="E91">
        <f>D91*C91</f>
        <v/>
      </c>
    </row>
    <row r="92">
      <c r="B92" t="inlineStr">
        <is>
          <t>Sécurité des données (chiffrement)</t>
        </is>
      </c>
      <c r="C92" t="n">
        <v>15</v>
      </c>
      <c r="D92" s="2" t="n">
        <v>0.5</v>
      </c>
      <c r="E92">
        <f>D92*C92</f>
        <v/>
      </c>
    </row>
    <row r="93">
      <c r="B93" t="inlineStr">
        <is>
          <t>Hashage des mots de passe</t>
        </is>
      </c>
      <c r="C93" t="n">
        <v>15</v>
      </c>
      <c r="D93" s="2" t="n">
        <v>1</v>
      </c>
      <c r="E93">
        <f>D93*C93</f>
        <v/>
      </c>
    </row>
    <row r="94">
      <c r="B94" t="inlineStr">
        <is>
          <t>Backups multi-niveaux</t>
        </is>
      </c>
      <c r="C94" t="n">
        <v>15</v>
      </c>
      <c r="D94" s="2" t="n">
        <v>0.5</v>
      </c>
      <c r="E94">
        <f>D94*C94</f>
        <v/>
      </c>
    </row>
    <row r="95">
      <c r="B95" t="inlineStr">
        <is>
          <t>Monitoring 24/7</t>
        </is>
      </c>
      <c r="C95" t="n">
        <v>15</v>
      </c>
      <c r="D95" s="2" t="n">
        <v>0.7</v>
      </c>
      <c r="E95">
        <f>D95*C95</f>
        <v/>
      </c>
    </row>
    <row r="96">
      <c r="B96" t="inlineStr">
        <is>
          <t>Protection CSRF</t>
        </is>
      </c>
      <c r="C96" t="n">
        <v>15</v>
      </c>
      <c r="D96" s="2" t="n">
        <v>1</v>
      </c>
      <c r="E96">
        <f>D96*C96</f>
        <v/>
      </c>
    </row>
    <row r="97">
      <c r="B97" t="inlineStr">
        <is>
          <t>Protection injections</t>
        </is>
      </c>
      <c r="C97" t="n">
        <v>15</v>
      </c>
      <c r="D97" s="2" t="n">
        <v>1</v>
      </c>
      <c r="E97">
        <f>D97*C97</f>
        <v/>
      </c>
    </row>
    <row r="98">
      <c r="B98" t="inlineStr">
        <is>
          <t>Protection brute-force</t>
        </is>
      </c>
      <c r="C98" t="n">
        <v>15</v>
      </c>
      <c r="D98" s="2" t="n">
        <v>1</v>
      </c>
      <c r="E98">
        <f>D98*C98</f>
        <v/>
      </c>
    </row>
    <row r="99">
      <c r="B99" t="inlineStr">
        <is>
          <t>Consentement RGPD</t>
        </is>
      </c>
      <c r="C99" t="n">
        <v>15</v>
      </c>
      <c r="D99" s="2" t="n">
        <v>0.5</v>
      </c>
      <c r="E99">
        <f>D99*C99</f>
        <v/>
      </c>
    </row>
    <row r="100">
      <c r="B100" t="inlineStr">
        <is>
          <t>Droit d’accès RGPD</t>
        </is>
      </c>
      <c r="C100" t="n">
        <v>15</v>
      </c>
      <c r="D100" s="2" t="n">
        <v>0.5</v>
      </c>
      <c r="E100">
        <f>D100*C100</f>
        <v/>
      </c>
    </row>
    <row r="101">
      <c r="B101" t="inlineStr">
        <is>
          <t>Portabilité des données</t>
        </is>
      </c>
      <c r="C101" t="n">
        <v>15</v>
      </c>
      <c r="D101" s="2" t="n">
        <v>1</v>
      </c>
      <c r="E101">
        <f>D101*C101</f>
        <v/>
      </c>
    </row>
    <row r="102">
      <c r="B102" t="inlineStr">
        <is>
          <t>Droit à l’oubli</t>
        </is>
      </c>
      <c r="C102" t="n">
        <v>15</v>
      </c>
      <c r="D102" s="2" t="n">
        <v>0.5</v>
      </c>
      <c r="E102">
        <f>D102*C102</f>
        <v/>
      </c>
    </row>
    <row r="103">
      <c r="B103" t="inlineStr">
        <is>
          <t>Sous Total</t>
        </is>
      </c>
      <c r="C103">
        <f>SUM(C6:C102)</f>
        <v/>
      </c>
      <c r="E103">
        <f>SUM(E6:E102)</f>
        <v/>
      </c>
    </row>
    <row r="105">
      <c r="B105" t="inlineStr">
        <is>
          <t>Bonus</t>
        </is>
      </c>
    </row>
    <row r="106">
      <c r="B106" t="inlineStr">
        <is>
          <t>Etes vous pilote ULM ?</t>
        </is>
      </c>
      <c r="C106" t="n">
        <v>20</v>
      </c>
      <c r="D106" s="2" t="n">
        <v>1</v>
      </c>
      <c r="E106">
        <f>D106*C106</f>
        <v/>
      </c>
    </row>
    <row r="107">
      <c r="B107" t="inlineStr">
        <is>
          <t>Travaillez vous deja avec l'ULM ?</t>
        </is>
      </c>
      <c r="C107" t="n">
        <v>50</v>
      </c>
      <c r="D107" s="2" t="n">
        <v>1</v>
      </c>
      <c r="E107">
        <f>D107*C107</f>
        <v/>
      </c>
    </row>
    <row r="108">
      <c r="B108" t="inlineStr">
        <is>
          <t>Etes vous sensibiliser à l'ULM et ses valeurs ?</t>
        </is>
      </c>
      <c r="C108" t="n">
        <v>20</v>
      </c>
      <c r="D108" s="2" t="n">
        <v>1</v>
      </c>
      <c r="E108">
        <f>D108*C108</f>
        <v/>
      </c>
    </row>
    <row r="110">
      <c r="B110" t="inlineStr">
        <is>
          <t>Malus</t>
        </is>
      </c>
    </row>
    <row r="111">
      <c r="B111" t="inlineStr">
        <is>
          <t>Votre solution n'est pas encore en ligne</t>
        </is>
      </c>
      <c r="C111" t="n">
        <v>-50</v>
      </c>
      <c r="D111" s="2" t="n">
        <v>0</v>
      </c>
      <c r="E111">
        <f>D111*C111</f>
        <v/>
      </c>
    </row>
    <row r="112">
      <c r="B112" t="inlineStr">
        <is>
          <t>La solution est utilisé par moins de 100 personnes</t>
        </is>
      </c>
      <c r="C112" t="n">
        <v>-50</v>
      </c>
      <c r="D112" s="2" t="n">
        <v>1</v>
      </c>
      <c r="E112">
        <f>D112*C112</f>
        <v/>
      </c>
    </row>
    <row r="113">
      <c r="B113" t="inlineStr">
        <is>
          <t>La solution est utilisé par moins de 5 clubs</t>
        </is>
      </c>
      <c r="C113" t="n">
        <v>-50</v>
      </c>
      <c r="D113" s="2" t="n">
        <v>1</v>
      </c>
      <c r="E113">
        <f>D113*C113</f>
        <v/>
      </c>
    </row>
    <row r="114">
      <c r="B114" t="inlineStr">
        <is>
          <t>Ma solution n'est pas encore viable, et pourrait disparaitre</t>
        </is>
      </c>
      <c r="C114" t="n">
        <v>0</v>
      </c>
      <c r="D114" s="2" t="n">
        <v>0</v>
      </c>
      <c r="E114">
        <f>D114*C114</f>
        <v/>
      </c>
    </row>
    <row r="115">
      <c r="B115" t="inlineStr">
        <is>
          <t>Si la FFPLUM ne fait pas appel à moi, ma solution s'arrêtera sous 2 ans</t>
        </is>
      </c>
      <c r="C115" t="n">
        <v>-50</v>
      </c>
      <c r="D115" s="2" t="n">
        <v>0</v>
      </c>
      <c r="E115">
        <f>D115*C115</f>
        <v/>
      </c>
    </row>
    <row r="116">
      <c r="B116" t="inlineStr">
        <is>
          <t>Ma solution ne sera pas prete pour juin</t>
        </is>
      </c>
      <c r="C116" t="n">
        <v>-100</v>
      </c>
      <c r="D116" s="2" t="n">
        <v>0</v>
      </c>
      <c r="E116">
        <f>D116*C116</f>
        <v/>
      </c>
    </row>
    <row r="118">
      <c r="B118" t="inlineStr">
        <is>
          <t>Total</t>
        </is>
      </c>
      <c r="E118">
        <f>SUM(E103:E117)</f>
        <v/>
      </c>
    </row>
    <row r="121">
      <c r="B121" t="inlineStr">
        <is>
          <t>Pour aller plus loin...</t>
        </is>
      </c>
    </row>
    <row r="122">
      <c r="B122" t="inlineStr">
        <is>
          <t>LISTE V2 (bonus / évolutions fonctionnelles)</t>
        </is>
      </c>
    </row>
    <row r="123">
      <c r="B123" t="inlineStr">
        <is>
          <t>Statistiques clubs</t>
        </is>
      </c>
      <c r="C123" t="n">
        <v>10</v>
      </c>
      <c r="D123" s="2" t="n">
        <v>0.3</v>
      </c>
      <c r="E123">
        <f>D123*C123</f>
        <v/>
      </c>
    </row>
    <row r="124">
      <c r="B124" t="inlineStr">
        <is>
          <t>Heures de vol club</t>
        </is>
      </c>
      <c r="C124" t="n">
        <v>10</v>
      </c>
      <c r="D124" s="2" t="n">
        <v>0.3</v>
      </c>
      <c r="E124">
        <f>D124*C124</f>
        <v/>
      </c>
    </row>
    <row r="125">
      <c r="B125" s="6" t="inlineStr">
        <is>
          <t>Taux d’utilisation machine</t>
        </is>
      </c>
      <c r="C125" t="n">
        <v>10</v>
      </c>
      <c r="D125" s="2" t="n">
        <v>0.3</v>
      </c>
      <c r="E125">
        <f>D125*C125</f>
        <v/>
      </c>
    </row>
    <row r="126">
      <c r="B126" t="inlineStr">
        <is>
          <t>Taux de conformité documentaire</t>
        </is>
      </c>
      <c r="C126" t="n">
        <v>10</v>
      </c>
      <c r="D126" s="2" t="n">
        <v>0.3</v>
      </c>
      <c r="E126">
        <f>D126*C126</f>
        <v/>
      </c>
    </row>
    <row r="127">
      <c r="B127" t="inlineStr">
        <is>
          <t>Statistiques fédérales avancées</t>
        </is>
      </c>
      <c r="C127" t="n">
        <v>10</v>
      </c>
      <c r="D127" s="2" t="n">
        <v>0.3</v>
      </c>
      <c r="E127">
        <f>D127*C127</f>
        <v/>
      </c>
    </row>
    <row r="128">
      <c r="B128" t="inlineStr">
        <is>
          <t>Taux d’utilisation flotte nationale</t>
        </is>
      </c>
      <c r="C128" t="n">
        <v>10</v>
      </c>
      <c r="D128" s="2" t="n">
        <v>0.3</v>
      </c>
      <c r="E128">
        <f>D128*C128</f>
        <v/>
      </c>
    </row>
    <row r="129">
      <c r="B129" t="inlineStr">
        <is>
          <t>Moyenne machine par classe</t>
        </is>
      </c>
      <c r="C129" t="n">
        <v>10</v>
      </c>
      <c r="D129" s="2" t="n">
        <v>0.3</v>
      </c>
      <c r="E129">
        <f>D129*C129</f>
        <v/>
      </c>
    </row>
    <row r="130">
      <c r="B130" t="inlineStr">
        <is>
          <t>Occupation instructeurs</t>
        </is>
      </c>
      <c r="C130" t="n">
        <v>10</v>
      </c>
      <c r="D130" s="2" t="n">
        <v>0.3</v>
      </c>
      <c r="E130">
        <f>D130*C130</f>
        <v/>
      </c>
    </row>
    <row r="131">
      <c r="B131" t="inlineStr">
        <is>
          <t>Sécurité et accidentologie anonymisée</t>
        </is>
      </c>
      <c r="C131" t="n">
        <v>10</v>
      </c>
      <c r="D131" s="2" t="n">
        <v>0.3</v>
      </c>
      <c r="E131">
        <f>D131*C131</f>
        <v/>
      </c>
    </row>
    <row r="132">
      <c r="B132" t="inlineStr">
        <is>
          <t>Bilan DGAC format standardisé</t>
        </is>
      </c>
      <c r="C132" t="n">
        <v>10</v>
      </c>
      <c r="D132" s="2" t="n">
        <v>0.3</v>
      </c>
      <c r="E132">
        <f>D132*C132</f>
        <v/>
      </c>
    </row>
    <row r="133">
      <c r="B133" t="inlineStr">
        <is>
          <t>Gestion planning machines</t>
        </is>
      </c>
      <c r="C133" t="n">
        <v>10</v>
      </c>
      <c r="D133" s="2" t="n">
        <v>1</v>
      </c>
      <c r="E133">
        <f>D133*C133</f>
        <v/>
      </c>
    </row>
    <row r="134">
      <c r="B134" t="inlineStr">
        <is>
          <t>Réservation machines</t>
        </is>
      </c>
      <c r="C134" t="n">
        <v>10</v>
      </c>
      <c r="D134" s="2" t="n">
        <v>1</v>
      </c>
      <c r="E134">
        <f>D134*C134</f>
        <v/>
      </c>
    </row>
    <row r="135">
      <c r="B135" t="inlineStr">
        <is>
          <t>Planning instructeurs</t>
        </is>
      </c>
      <c r="C135" t="n">
        <v>10</v>
      </c>
      <c r="D135" s="2" t="n">
        <v>1</v>
      </c>
      <c r="E135">
        <f>D135*C135</f>
        <v/>
      </c>
    </row>
    <row r="136">
      <c r="B136" t="inlineStr">
        <is>
          <t>Gestion des conflits planning</t>
        </is>
      </c>
      <c r="C136" t="n">
        <v>10</v>
      </c>
      <c r="D136" s="2" t="n">
        <v>1</v>
      </c>
      <c r="E136">
        <f>D136*C136</f>
        <v/>
      </c>
    </row>
    <row r="137">
      <c r="B137" t="inlineStr">
        <is>
          <t>Quotas d’utilisation machines</t>
        </is>
      </c>
      <c r="C137" t="n">
        <v>10</v>
      </c>
      <c r="D137" s="2" t="n">
        <v>1</v>
      </c>
      <c r="E137">
        <f>D137*C137</f>
        <v/>
      </c>
    </row>
    <row r="138">
      <c r="B138" t="inlineStr">
        <is>
          <t>Règles d’utilisation machines</t>
        </is>
      </c>
      <c r="C138" t="n">
        <v>10</v>
      </c>
      <c r="D138" s="2" t="n">
        <v>1</v>
      </c>
      <c r="E138">
        <f>D138*C138</f>
        <v/>
      </c>
    </row>
    <row r="139">
      <c r="B139" t="inlineStr">
        <is>
          <t>Annulation réservations</t>
        </is>
      </c>
      <c r="C139" t="n">
        <v>10</v>
      </c>
      <c r="D139" s="2" t="n">
        <v>1</v>
      </c>
      <c r="E139">
        <f>D139*C139</f>
        <v/>
      </c>
    </row>
    <row r="140">
      <c r="B140" t="inlineStr">
        <is>
          <t>Notifications planning</t>
        </is>
      </c>
      <c r="C140" t="n">
        <v>10</v>
      </c>
      <c r="D140" s="2" t="n">
        <v>1</v>
      </c>
      <c r="E140">
        <f>D140*C140</f>
        <v/>
      </c>
    </row>
    <row r="141">
      <c r="B141" t="inlineStr">
        <is>
          <t>Gestion et suivi de formation</t>
        </is>
      </c>
      <c r="C141" t="n">
        <v>10</v>
      </c>
      <c r="D141" s="2" t="n">
        <v>0.7</v>
      </c>
      <c r="E141">
        <f>D141*C141</f>
        <v/>
      </c>
    </row>
    <row r="142">
      <c r="B142" t="inlineStr">
        <is>
          <t>Suivi progression élève</t>
        </is>
      </c>
      <c r="C142" t="n">
        <v>10</v>
      </c>
      <c r="D142" s="2" t="n">
        <v>0.7</v>
      </c>
      <c r="E142">
        <f>D142*C142</f>
        <v/>
      </c>
    </row>
    <row r="143">
      <c r="B143" t="inlineStr">
        <is>
          <t>Fiches de séances</t>
        </is>
      </c>
      <c r="C143" t="n">
        <v>10</v>
      </c>
      <c r="D143" s="2" t="n">
        <v>0.7</v>
      </c>
      <c r="E143">
        <f>D143*C143</f>
        <v/>
      </c>
    </row>
    <row r="144">
      <c r="B144" t="inlineStr">
        <is>
          <t>Signature instructeur</t>
        </is>
      </c>
      <c r="C144" t="n">
        <v>10</v>
      </c>
      <c r="D144" s="2" t="n">
        <v>0.3</v>
      </c>
      <c r="E144">
        <f>D144*C144</f>
        <v/>
      </c>
    </row>
    <row r="145">
      <c r="B145" t="inlineStr">
        <is>
          <t>Archivage formation</t>
        </is>
      </c>
      <c r="C145" t="n">
        <v>10</v>
      </c>
      <c r="D145" s="2" t="n">
        <v>0.3</v>
      </c>
      <c r="E145">
        <f>D145*C145</f>
        <v/>
      </c>
    </row>
    <row r="146">
      <c r="B146" t="inlineStr">
        <is>
          <t>Intégration API AeroGLIGLI</t>
        </is>
      </c>
      <c r="C146" t="n">
        <v>10</v>
      </c>
      <c r="D146" s="2" t="n">
        <v>0.3</v>
      </c>
      <c r="E146">
        <f>D146*C146</f>
        <v/>
      </c>
    </row>
    <row r="147">
      <c r="B147" t="inlineStr">
        <is>
          <t>Facturation</t>
        </is>
      </c>
      <c r="C147" t="n">
        <v>10</v>
      </c>
      <c r="D147" s="2" t="n">
        <v>1</v>
      </c>
      <c r="E147">
        <f>D147*C147</f>
        <v/>
      </c>
    </row>
    <row r="148">
      <c r="B148" t="inlineStr">
        <is>
          <t>Facturation vols école</t>
        </is>
      </c>
      <c r="C148" t="n">
        <v>10</v>
      </c>
      <c r="D148" s="2" t="n">
        <v>1</v>
      </c>
      <c r="E148">
        <f>D148*C148</f>
        <v/>
      </c>
    </row>
    <row r="149">
      <c r="B149" t="inlineStr">
        <is>
          <t>Facturation location machine</t>
        </is>
      </c>
      <c r="C149" t="n">
        <v>10</v>
      </c>
      <c r="D149" s="2" t="n">
        <v>1</v>
      </c>
      <c r="E149">
        <f>D149*C149</f>
        <v/>
      </c>
    </row>
    <row r="150">
      <c r="B150" t="inlineStr">
        <is>
          <t>Gestion forfaits</t>
        </is>
      </c>
      <c r="C150" t="n">
        <v>10</v>
      </c>
      <c r="D150" s="2" t="n">
        <v>0.3</v>
      </c>
      <c r="E150">
        <f>D150*C150</f>
        <v/>
      </c>
    </row>
    <row r="151">
      <c r="B151" t="inlineStr">
        <is>
          <t>Génération factures PDF</t>
        </is>
      </c>
      <c r="C151" t="n">
        <v>10</v>
      </c>
      <c r="D151" s="2" t="n">
        <v>0</v>
      </c>
      <c r="E151">
        <f>D151*C151</f>
        <v/>
      </c>
    </row>
    <row r="152">
      <c r="B152" t="inlineStr">
        <is>
          <t>Relevés mensuels</t>
        </is>
      </c>
      <c r="C152" t="n">
        <v>10</v>
      </c>
      <c r="D152" s="2" t="n">
        <v>0.3</v>
      </c>
      <c r="E152">
        <f>D152*C152</f>
        <v/>
      </c>
    </row>
    <row r="153">
      <c r="B153" t="inlineStr">
        <is>
          <t>LISTE V3 (bonus avancé / MRO)</t>
        </is>
      </c>
    </row>
    <row r="154">
      <c r="B154" t="inlineStr">
        <is>
          <t>Module maintenance avancée (MRO)</t>
        </is>
      </c>
      <c r="C154" t="n">
        <v>10</v>
      </c>
      <c r="D154" s="2" t="n">
        <v>0.3</v>
      </c>
      <c r="E154">
        <f>D154*C154</f>
        <v/>
      </c>
    </row>
    <row r="155">
      <c r="B155" t="inlineStr">
        <is>
          <t>Plan de maintenance machine</t>
        </is>
      </c>
      <c r="C155" t="n">
        <v>10</v>
      </c>
      <c r="D155" s="2" t="n">
        <v>0.3</v>
      </c>
      <c r="E155">
        <f>D155*C155</f>
        <v/>
      </c>
    </row>
    <row r="156">
      <c r="B156" t="inlineStr">
        <is>
          <t>Échéances par date</t>
        </is>
      </c>
      <c r="C156" t="n">
        <v>10</v>
      </c>
      <c r="D156" s="2" t="n">
        <v>0.3</v>
      </c>
      <c r="E156">
        <f>D156*C156</f>
        <v/>
      </c>
    </row>
    <row r="157">
      <c r="B157" t="inlineStr">
        <is>
          <t>Échéances par heures de vol</t>
        </is>
      </c>
      <c r="C157" t="n">
        <v>10</v>
      </c>
      <c r="D157" s="2" t="n">
        <v>1</v>
      </c>
      <c r="E157">
        <f>D157*C157</f>
        <v/>
      </c>
    </row>
    <row r="158">
      <c r="B158" t="inlineStr">
        <is>
          <t>Alertes maintenance automatiques</t>
        </is>
      </c>
      <c r="C158" t="n">
        <v>10</v>
      </c>
      <c r="D158" s="2" t="n">
        <v>1</v>
      </c>
      <c r="E158">
        <f>D158*C158</f>
        <v/>
      </c>
    </row>
    <row r="159">
      <c r="B159" t="inlineStr">
        <is>
          <t>Suivi des interventions maintenance</t>
        </is>
      </c>
      <c r="C159" t="n">
        <v>10</v>
      </c>
      <c r="D159" s="2" t="n">
        <v>1</v>
      </c>
      <c r="E159">
        <f>D159*C159</f>
        <v/>
      </c>
    </row>
    <row r="160">
      <c r="B160" t="inlineStr">
        <is>
          <t>Import carnet machine</t>
        </is>
      </c>
      <c r="C160" t="n">
        <v>10</v>
      </c>
      <c r="D160" s="2" t="n">
        <v>0.3</v>
      </c>
      <c r="E160">
        <f>D160*C160</f>
        <v/>
      </c>
    </row>
    <row r="161">
      <c r="B161" t="inlineStr">
        <is>
          <t>Export carnet machine</t>
        </is>
      </c>
      <c r="C161" t="n">
        <v>10</v>
      </c>
      <c r="D161" s="2" t="n">
        <v>1</v>
      </c>
      <c r="E161">
        <f>D161*C161</f>
        <v/>
      </c>
    </row>
    <row r="162">
      <c r="B162" t="inlineStr">
        <is>
          <t>Total suite</t>
        </is>
      </c>
      <c r="C162">
        <f>SUM(C123:C161)</f>
        <v/>
      </c>
      <c r="E162">
        <f>SUM(E123:E161)</f>
        <v/>
      </c>
    </row>
  </sheetData>
  <mergeCells count="2">
    <mergeCell ref="C1:F1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2026-01-03T14:12:30Z</dcterms:created>
  <dcterms:modified xsi:type="dcterms:W3CDTF">2026-03-30T14:27:27Z</dcterms:modified>
  <cp:lastModifiedBy>Sébastien Maillot</cp:lastModifiedBy>
</cp:coreProperties>
</file>